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" sheetId="1" r:id="rId1"/>
    <sheet name="Headcou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Month</v>
      </c>
      <c r="B1" t="str">
        <v>Revenue</v>
      </c>
      <c r="C1" t="str">
        <v>Costs</v>
      </c>
      <c r="D1" t="str">
        <v>Net</v>
      </c>
      <c r="E1" t="str">
        <v>Active folders</v>
      </c>
      <c r="F1" t="str">
        <v>Cost / active folder</v>
      </c>
    </row>
    <row r="2">
      <c r="A2" t="str">
        <v>April</v>
      </c>
      <c r="B2">
        <v>48200</v>
      </c>
      <c r="C2">
        <v>31100</v>
      </c>
      <c r="D2">
        <v>17100</v>
      </c>
      <c r="E2">
        <v>6100</v>
      </c>
      <c r="F2" t="str">
        <f>C2/E2</f>
        <v>5.1</v>
      </c>
    </row>
    <row r="3">
      <c r="A3" t="str">
        <v>May</v>
      </c>
      <c r="B3">
        <v>51400</v>
      </c>
      <c r="C3">
        <v>30800</v>
      </c>
      <c r="D3">
        <v>20600</v>
      </c>
      <c r="E3">
        <v>6700</v>
      </c>
      <c r="F3" t="str">
        <f>C3/E3</f>
        <v>4.6</v>
      </c>
    </row>
    <row r="4">
      <c r="A4" t="str">
        <v>June</v>
      </c>
      <c r="B4">
        <v>52900</v>
      </c>
      <c r="C4">
        <v>29400</v>
      </c>
      <c r="D4">
        <v>23500</v>
      </c>
      <c r="E4">
        <v>7400</v>
      </c>
      <c r="F4" t="str">
        <f>C4/E4</f>
        <v>3.97</v>
      </c>
    </row>
    <row r="5">
      <c r="A5" t="str">
        <v>July</v>
      </c>
      <c r="B5">
        <v>55100</v>
      </c>
      <c r="C5">
        <v>29900</v>
      </c>
      <c r="D5">
        <v>25200</v>
      </c>
      <c r="E5">
        <v>8300</v>
      </c>
      <c r="F5" t="str">
        <f>C5/E5</f>
        <v>3.6</v>
      </c>
    </row>
    <row r="6">
      <c r="A6" t="str">
        <v>August</v>
      </c>
      <c r="B6">
        <v>57300</v>
      </c>
      <c r="C6">
        <v>28600</v>
      </c>
      <c r="D6">
        <v>28700</v>
      </c>
      <c r="E6">
        <v>9400</v>
      </c>
      <c r="F6" t="str">
        <f>C6/E6</f>
        <v>3.04</v>
      </c>
    </row>
    <row r="7">
      <c r="A7" t="str">
        <v>Total</v>
      </c>
      <c r="B7" t="str">
        <f>SUM(B2:B6)</f>
        <v>264900</v>
      </c>
      <c r="C7" t="str">
        <f>SUM(C2:C6)</f>
        <v>149800</v>
      </c>
      <c r="D7" t="str">
        <f>SUM(D2:D6)</f>
        <v>115100</v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Team</v>
      </c>
      <c r="B1" t="str">
        <v>Headcount</v>
      </c>
      <c r="C1" t="str">
        <v>Loaded monthly cost</v>
      </c>
    </row>
    <row r="2">
      <c r="A2" t="str">
        <v>Engineering</v>
      </c>
      <c r="B2">
        <v>4</v>
      </c>
      <c r="C2">
        <v>96000</v>
      </c>
    </row>
    <row r="3">
      <c r="A3" t="str">
        <v>Support</v>
      </c>
      <c r="B3">
        <v>2</v>
      </c>
      <c r="C3">
        <v>34000</v>
      </c>
    </row>
    <row r="4">
      <c r="A4" t="str">
        <v>Ops &amp; finance</v>
      </c>
      <c r="B4">
        <v>1</v>
      </c>
      <c r="C4">
        <v>21000</v>
      </c>
    </row>
    <row r="5">
      <c r="A5" t="str">
        <v>Total</v>
      </c>
      <c r="B5" t="str">
        <f>SUM(B2:B4)</f>
        <v>7</v>
      </c>
      <c r="C5" t="str">
        <f>SUM(C2:C4)</f>
        <v>151000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Headcount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