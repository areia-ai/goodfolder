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Dish</v>
      </c>
      <c r="B1" t="str">
        <v>Menu price</v>
      </c>
      <c r="C1" t="str">
        <v>Ingredient cost</v>
      </c>
      <c r="D1" t="str">
        <v>Margin (%)</v>
      </c>
    </row>
    <row r="2">
      <c r="A2" t="str">
        <v>Sunday loaf</v>
      </c>
      <c r="B2">
        <v>9</v>
      </c>
      <c r="C2">
        <v>2.1</v>
      </c>
      <c r="D2" t="str">
        <f>100*(1-(C2/B2))</f>
        <v>76.7</v>
      </c>
    </row>
    <row r="3">
      <c r="A3" t="str">
        <v>Root vegetable &amp; barley soup</v>
      </c>
      <c r="B3">
        <v>12</v>
      </c>
      <c r="C3">
        <v>3.4</v>
      </c>
      <c r="D3" t="str">
        <f>100*(1-(C3/B3))</f>
        <v>71.7</v>
      </c>
    </row>
    <row r="4">
      <c r="A4" t="str">
        <v>Pastry case item (avg)</v>
      </c>
      <c r="B4">
        <v>5.5</v>
      </c>
      <c r="C4">
        <v>1.3</v>
      </c>
      <c r="D4" t="str">
        <f>100*(1-(C4/B4))</f>
        <v>76.4</v>
      </c>
    </row>
    <row r="5">
      <c r="A5" t="str">
        <v>Set dinner (3-course)</v>
      </c>
      <c r="B5">
        <v>42</v>
      </c>
      <c r="C5">
        <v>14.5</v>
      </c>
      <c r="D5" t="str">
        <f>100*(1-(C5/B5))</f>
        <v>65.5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